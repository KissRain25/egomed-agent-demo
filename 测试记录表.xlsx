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color rgb="007F7F7F"/>
      <sz val="10"/>
    </font>
    <font>
      <name val="微软雅黑"/>
      <b val="1"/>
      <sz val="11"/>
    </font>
    <font>
      <name val="微软雅黑"/>
      <sz val="11"/>
    </font>
    <font>
      <name val="微软雅黑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3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34" customWidth="1" min="4" max="4"/>
    <col width="18" customWidth="1" min="5" max="5"/>
    <col width="12" customWidth="1" min="6" max="6"/>
    <col width="24" customWidth="1" min="7" max="7"/>
    <col width="16" customWidth="1" min="8" max="8"/>
    <col width="16" customWidth="1" min="9" max="9"/>
  </cols>
  <sheetData>
    <row r="1" ht="30" customHeight="1">
      <c r="A1" s="1" t="inlineStr">
        <is>
          <t>EgoMed 分割 Demo —— 测试记录表</t>
        </is>
      </c>
    </row>
    <row r="2" ht="32" customHeight="1">
      <c r="A2" s="2" t="inlineStr">
        <is>
          <t>说明：5 种模态各测 2~3 个病例，测一个记一个；分割效果三选一（准/一般/不准）；截图命名建议：模态_病例号（如 CAMUS_10）</t>
        </is>
      </c>
    </row>
    <row r="4" ht="22" customHeight="1">
      <c r="A4" s="3" t="inlineStr">
        <is>
          <t>序号</t>
        </is>
      </c>
      <c r="B4" s="3" t="inlineStr">
        <is>
          <t>模态</t>
        </is>
      </c>
      <c r="C4" s="3" t="inlineStr">
        <is>
          <t>病例编号</t>
        </is>
      </c>
      <c r="D4" s="3" t="inlineStr">
        <is>
          <t>影像路径</t>
        </is>
      </c>
      <c r="E4" s="3" t="inlineStr">
        <is>
          <t>分割指令</t>
        </is>
      </c>
      <c r="F4" s="3" t="inlineStr">
        <is>
          <t>分割效果</t>
        </is>
      </c>
      <c r="G4" s="3" t="inlineStr">
        <is>
          <t>漏检/错检情况</t>
        </is>
      </c>
      <c r="H4" s="3" t="inlineStr">
        <is>
          <t>截图文件名</t>
        </is>
      </c>
      <c r="I4" s="3" t="inlineStr">
        <is>
          <t>备注</t>
        </is>
      </c>
    </row>
    <row r="5">
      <c r="A5" s="4" t="n">
        <v>1</v>
      </c>
      <c r="B5" s="5" t="inlineStr">
        <is>
          <t>ACDC (MRI 心脏)</t>
        </is>
      </c>
      <c r="C5" s="4" t="n"/>
      <c r="D5" s="4" t="n"/>
      <c r="E5" s="4" t="n"/>
      <c r="F5" s="4" t="inlineStr"/>
      <c r="G5" s="4" t="n"/>
      <c r="H5" s="4" t="n"/>
      <c r="I5" s="4" t="n"/>
    </row>
    <row r="6">
      <c r="A6" s="4" t="n">
        <v>2</v>
      </c>
      <c r="B6" s="6" t="n"/>
      <c r="C6" s="4" t="n"/>
      <c r="D6" s="4" t="n"/>
      <c r="E6" s="4" t="n"/>
      <c r="F6" s="4" t="inlineStr"/>
      <c r="G6" s="4" t="n"/>
      <c r="H6" s="4" t="n"/>
      <c r="I6" s="4" t="n"/>
    </row>
    <row r="7">
      <c r="A7" s="4" t="n">
        <v>3</v>
      </c>
      <c r="B7" s="7" t="n"/>
      <c r="C7" s="4" t="n"/>
      <c r="D7" s="4" t="n"/>
      <c r="E7" s="4" t="n"/>
      <c r="F7" s="4" t="inlineStr"/>
      <c r="G7" s="4" t="n"/>
      <c r="H7" s="4" t="n"/>
      <c r="I7" s="4" t="n"/>
    </row>
    <row r="8">
      <c r="A8" s="4" t="n">
        <v>4</v>
      </c>
      <c r="B8" s="5" t="inlineStr">
        <is>
          <t>Amos (CT 腹部)</t>
        </is>
      </c>
      <c r="C8" s="4" t="n"/>
      <c r="D8" s="4" t="n"/>
      <c r="E8" s="4" t="n"/>
      <c r="F8" s="4" t="inlineStr"/>
      <c r="G8" s="4" t="n"/>
      <c r="H8" s="4" t="n"/>
      <c r="I8" s="4" t="n"/>
    </row>
    <row r="9">
      <c r="A9" s="4" t="n">
        <v>5</v>
      </c>
      <c r="B9" s="6" t="n"/>
      <c r="C9" s="4" t="n"/>
      <c r="D9" s="4" t="n"/>
      <c r="E9" s="4" t="n"/>
      <c r="F9" s="4" t="inlineStr"/>
      <c r="G9" s="4" t="n"/>
      <c r="H9" s="4" t="n"/>
      <c r="I9" s="4" t="n"/>
    </row>
    <row r="10">
      <c r="A10" s="4" t="n">
        <v>6</v>
      </c>
      <c r="B10" s="7" t="n"/>
      <c r="C10" s="4" t="n"/>
      <c r="D10" s="4" t="n"/>
      <c r="E10" s="4" t="n"/>
      <c r="F10" s="4" t="inlineStr"/>
      <c r="G10" s="4" t="n"/>
      <c r="H10" s="4" t="n"/>
      <c r="I10" s="4" t="n"/>
    </row>
    <row r="11">
      <c r="A11" s="4" t="n">
        <v>7</v>
      </c>
      <c r="B11" s="5" t="inlineStr">
        <is>
          <t>CAMUS (超声 心脏)</t>
        </is>
      </c>
      <c r="C11" s="4" t="n"/>
      <c r="D11" s="4" t="n"/>
      <c r="E11" s="4" t="n"/>
      <c r="F11" s="4" t="inlineStr"/>
      <c r="G11" s="4" t="n"/>
      <c r="H11" s="4" t="n"/>
      <c r="I11" s="4" t="n"/>
    </row>
    <row r="12">
      <c r="A12" s="4" t="n">
        <v>8</v>
      </c>
      <c r="B12" s="6" t="n"/>
      <c r="C12" s="4" t="n"/>
      <c r="D12" s="4" t="n"/>
      <c r="E12" s="4" t="n"/>
      <c r="F12" s="4" t="inlineStr"/>
      <c r="G12" s="4" t="n"/>
      <c r="H12" s="4" t="n"/>
      <c r="I12" s="4" t="n"/>
    </row>
    <row r="13">
      <c r="A13" s="4" t="n">
        <v>9</v>
      </c>
      <c r="B13" s="7" t="n"/>
      <c r="C13" s="4" t="n"/>
      <c r="D13" s="4" t="n"/>
      <c r="E13" s="4" t="n"/>
      <c r="F13" s="4" t="inlineStr"/>
      <c r="G13" s="4" t="n"/>
      <c r="H13" s="4" t="n"/>
      <c r="I13" s="4" t="n"/>
    </row>
    <row r="14">
      <c r="A14" s="4" t="n">
        <v>10</v>
      </c>
      <c r="B14" s="5" t="inlineStr">
        <is>
          <t>Montgomery (X光 胸片)</t>
        </is>
      </c>
      <c r="C14" s="4" t="n"/>
      <c r="D14" s="4" t="n"/>
      <c r="E14" s="4" t="n"/>
      <c r="F14" s="4" t="inlineStr"/>
      <c r="G14" s="4" t="n"/>
      <c r="H14" s="4" t="n"/>
      <c r="I14" s="4" t="n"/>
    </row>
    <row r="15">
      <c r="A15" s="4" t="n">
        <v>11</v>
      </c>
      <c r="B15" s="6" t="n"/>
      <c r="C15" s="4" t="n"/>
      <c r="D15" s="4" t="n"/>
      <c r="E15" s="4" t="n"/>
      <c r="F15" s="4" t="inlineStr"/>
      <c r="G15" s="4" t="n"/>
      <c r="H15" s="4" t="n"/>
      <c r="I15" s="4" t="n"/>
    </row>
    <row r="16">
      <c r="A16" s="4" t="n">
        <v>12</v>
      </c>
      <c r="B16" s="7" t="n"/>
      <c r="C16" s="4" t="n"/>
      <c r="D16" s="4" t="n"/>
      <c r="E16" s="4" t="n"/>
      <c r="F16" s="4" t="inlineStr"/>
      <c r="G16" s="4" t="n"/>
      <c r="H16" s="4" t="n"/>
      <c r="I16" s="4" t="n"/>
    </row>
    <row r="17">
      <c r="A17" s="4" t="n">
        <v>13</v>
      </c>
      <c r="B17" s="5" t="inlineStr">
        <is>
          <t>PolypGen (内窥镜)</t>
        </is>
      </c>
      <c r="C17" s="4" t="n"/>
      <c r="D17" s="4" t="n"/>
      <c r="E17" s="4" t="n"/>
      <c r="F17" s="4" t="inlineStr"/>
      <c r="G17" s="4" t="n"/>
      <c r="H17" s="4" t="n"/>
      <c r="I17" s="4" t="n"/>
    </row>
    <row r="18">
      <c r="A18" s="4" t="n">
        <v>14</v>
      </c>
      <c r="B18" s="6" t="n"/>
      <c r="C18" s="4" t="n"/>
      <c r="D18" s="4" t="n"/>
      <c r="E18" s="4" t="n"/>
      <c r="F18" s="4" t="inlineStr"/>
      <c r="G18" s="4" t="n"/>
      <c r="H18" s="4" t="n"/>
      <c r="I18" s="4" t="n"/>
    </row>
    <row r="19">
      <c r="A19" s="4" t="n">
        <v>15</v>
      </c>
      <c r="B19" s="7" t="n"/>
      <c r="C19" s="4" t="n"/>
      <c r="D19" s="4" t="n"/>
      <c r="E19" s="4" t="n"/>
      <c r="F19" s="4" t="inlineStr"/>
      <c r="G19" s="4" t="n"/>
      <c r="H19" s="4" t="n"/>
      <c r="I19" s="4" t="n"/>
    </row>
    <row r="22">
      <c r="A22" s="8" t="inlineStr">
        <is>
          <t>汇总（自动统计）</t>
        </is>
      </c>
    </row>
    <row r="23">
      <c r="A23" s="9" t="inlineStr">
        <is>
          <t>已测病例数</t>
        </is>
      </c>
      <c r="D23" s="10">
        <f>COUNTA(C5:C19)</f>
        <v/>
      </c>
    </row>
    <row r="24">
      <c r="A24" s="9" t="inlineStr">
        <is>
          <t>分割效果"准"的病例</t>
        </is>
      </c>
      <c r="D24" s="10">
        <f>COUNTIF(F5:F19,"准")</f>
        <v/>
      </c>
    </row>
    <row r="25">
      <c r="A25" s="9" t="inlineStr">
        <is>
          <t>分割效果"一般"的病例</t>
        </is>
      </c>
      <c r="D25" s="10">
        <f>COUNTIF(F5:F19,"一般")</f>
        <v/>
      </c>
    </row>
    <row r="26">
      <c r="A26" s="9" t="inlineStr">
        <is>
          <t>分割效果"不准"的病例</t>
        </is>
      </c>
      <c r="D26" s="10">
        <f>COUNTIF(F5:F19,"不准")</f>
        <v/>
      </c>
    </row>
  </sheetData>
  <mergeCells count="12">
    <mergeCell ref="A25:C25"/>
    <mergeCell ref="B17:B19"/>
    <mergeCell ref="A2:I2"/>
    <mergeCell ref="A22:D22"/>
    <mergeCell ref="A23:C23"/>
    <mergeCell ref="A1:I1"/>
    <mergeCell ref="B14:B16"/>
    <mergeCell ref="B11:B13"/>
    <mergeCell ref="B8:B10"/>
    <mergeCell ref="A26:C26"/>
    <mergeCell ref="A24:C24"/>
    <mergeCell ref="B5:B7"/>
  </mergeCells>
  <dataValidations count="1">
    <dataValidation sqref="F5:F19" showDropDown="0" showInputMessage="0" showErrorMessage="0" allowBlank="1" errorTitle="输入无效" error="只能填：准 / 一般 / 不准" type="list">
      <formula1>"准,一般,不准"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2026-09-01T09:28:50Z</dcterms:created>
  <dcterms:modified xmlns:dcterms="http://purl.org/dc/terms/" xmlns:xsi="http://www.w3.org/2001/XMLSchema-instance" xsi:type="dcterms:W3CDTF">2026-09-01T09:28:50Z</dcterms:modified>
</cp:coreProperties>
</file>